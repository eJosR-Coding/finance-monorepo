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Caso 1" sheetId="2" state="visible" r:id="rId2"/>
    <sheet name="Caso 2" sheetId="3" state="visible" r:id="rId3"/>
    <sheet name="Simulador lib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S/&quot; #,##0.00"/>
    <numFmt numFmtId="165" formatCode="yyyy-mm-dd"/>
    <numFmt numFmtId="166" formatCode="DD/MM/YYYY"/>
    <numFmt numFmtId="167" formatCode="0.000000000"/>
  </numFmts>
  <fonts count="8">
    <font>
      <name val="Calibri"/>
      <family val="2"/>
      <color theme="1"/>
      <sz val="11"/>
      <scheme val="minor"/>
    </font>
    <font>
      <name val="Calibri"/>
      <b val="1"/>
      <color rgb="FF201E1D"/>
      <sz val="14"/>
    </font>
    <font>
      <b val="1"/>
      <color rgb="FFEC3013"/>
    </font>
    <font>
      <b val="1"/>
      <color rgb="FFEC3013"/>
      <sz val="10"/>
    </font>
    <font>
      <name val="Calibri"/>
      <b val="1"/>
      <sz val="10"/>
    </font>
    <font>
      <b val="1"/>
    </font>
    <font>
      <i val="1"/>
      <color rgb="FF605D5D"/>
      <sz val="9"/>
    </font>
    <font>
      <name val="Calibri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EAE9E9"/>
      </patternFill>
    </fill>
    <fill>
      <patternFill patternType="solid">
        <fgColor rgb="FF201E1D"/>
      </patternFill>
    </fill>
  </fills>
  <borders count="2">
    <border>
      <left/>
      <right/>
      <top/>
      <bottom/>
      <diagonal/>
    </border>
    <border>
      <left style="thin">
        <color rgb="FFBAB6B6"/>
      </left>
      <right style="thin">
        <color rgb="FFBAB6B6"/>
      </right>
      <top style="thin">
        <color rgb="FFBAB6B6"/>
      </top>
      <bottom style="thin">
        <color rgb="FFBAB6B6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2" borderId="1" pivotButton="0" quotePrefix="0" xfId="0"/>
    <xf numFmtId="0" fontId="6" fillId="0" borderId="0" pivotButton="0" quotePrefix="0" xfId="0"/>
    <xf numFmtId="10" fontId="0" fillId="2" borderId="1" pivotButton="0" quotePrefix="0" xfId="0"/>
    <xf numFmtId="0" fontId="0" fillId="2" borderId="1" pivotButton="0" quotePrefix="0" xfId="0"/>
    <xf numFmtId="166" fontId="0" fillId="2" borderId="1" pivotButton="0" quotePrefix="0" xfId="0"/>
    <xf numFmtId="167" fontId="5" fillId="2" borderId="1" pivotButton="0" quotePrefix="0" xfId="0"/>
    <xf numFmtId="0" fontId="7" fillId="3" borderId="1" applyAlignment="1" pivotButton="0" quotePrefix="0" xfId="0">
      <alignment horizontal="center" vertical="center"/>
    </xf>
    <xf numFmtId="0" fontId="0" fillId="0" borderId="1" pivotButton="0" quotePrefix="0" xfId="0"/>
    <xf numFmtId="166" fontId="0" fillId="0" borderId="1" pivotButton="0" quotePrefix="0" xfId="0"/>
    <xf numFmtId="164" fontId="0" fillId="0" borderId="1" pivotButton="0" quotePrefix="0" xfId="0"/>
    <xf numFmtId="0" fontId="4" fillId="0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Prestameami.pe — verificacion del cronograma en Excel</t>
        </is>
      </c>
    </row>
    <row r="2">
      <c r="A2" t="inlineStr"/>
    </row>
    <row r="3">
      <c r="A3" s="2" t="inlineStr">
        <is>
          <t>Para que sirve</t>
        </is>
      </c>
    </row>
    <row r="4">
      <c r="A4" t="inlineStr">
        <is>
          <t>Comprobar, fuera del sistema, que el cronograma que calcula la aplicacion</t>
        </is>
      </c>
    </row>
    <row r="5">
      <c r="A5" t="inlineStr">
        <is>
          <t>es correcto. Ninguna celda tiene numeros pegados a mano: todas son formulas</t>
        </is>
      </c>
    </row>
    <row r="6">
      <c r="A6" t="inlineStr">
        <is>
          <t>de Excel, asi que el cronograma se recalcula dentro de Excel.</t>
        </is>
      </c>
    </row>
    <row r="7">
      <c r="A7" t="inlineStr"/>
    </row>
    <row r="8">
      <c r="A8" s="2" t="inlineStr">
        <is>
          <t>Como leerlo</t>
        </is>
      </c>
    </row>
    <row r="9">
      <c r="A9" t="inlineStr">
        <is>
          <t>1. Las hojas 'Caso 1' y 'Caso 2' son los casos del Anexo C.</t>
        </is>
      </c>
    </row>
    <row r="10">
      <c r="A10" t="inlineStr">
        <is>
          <t>2. Abajo de cada cronograma hay una tabla que compara:</t>
        </is>
      </c>
    </row>
    <row r="11">
      <c r="A11" t="inlineStr">
        <is>
          <t xml:space="preserve">      Sistema    = lo que devuelve la API</t>
        </is>
      </c>
    </row>
    <row r="12">
      <c r="A12" t="inlineStr">
        <is>
          <t xml:space="preserve">      Excel      = lo que calcula la formula de esta hoja</t>
        </is>
      </c>
    </row>
    <row r="13">
      <c r="A13" t="inlineStr">
        <is>
          <t xml:space="preserve">      Diferencia = Excel menos Sistema, debe dar 0.00</t>
        </is>
      </c>
    </row>
    <row r="14">
      <c r="A14" t="inlineStr">
        <is>
          <t>3. 'Simulador libre' deja cambiar capital, TEA, cuotas y frecuencia.</t>
        </is>
      </c>
    </row>
    <row r="15">
      <c r="A15" t="inlineStr"/>
    </row>
    <row r="16">
      <c r="A16" s="2" t="inlineStr">
        <is>
          <t>Formulas usadas</t>
        </is>
      </c>
    </row>
    <row r="17">
      <c r="A17" t="inlineStr">
        <is>
          <t xml:space="preserve">   i = (1 + TEA) ^ (dias del periodo / 360) - 1          (9 decimales)</t>
        </is>
      </c>
    </row>
    <row r="18">
      <c r="A18" t="inlineStr">
        <is>
          <t xml:space="preserve">   C = PAGO(i; n; -P)                                    (2 decimales)</t>
        </is>
      </c>
    </row>
    <row r="19">
      <c r="A19" t="inlineStr">
        <is>
          <t xml:space="preserve">   Interes_t      = REDONDEAR(saldo anterior * i; 2)</t>
        </is>
      </c>
    </row>
    <row r="20">
      <c r="A20" t="inlineStr">
        <is>
          <t xml:space="preserve">   Amortizacion_t = REDONDEAR(C - Interes_t; 2)</t>
        </is>
      </c>
    </row>
    <row r="21">
      <c r="A21" t="inlineStr">
        <is>
          <t xml:space="preserve">   Saldo_t        = REDONDEAR(saldo anterior - Amortizacion_t; 2)</t>
        </is>
      </c>
    </row>
    <row r="22">
      <c r="A22" t="inlineStr"/>
    </row>
    <row r="23">
      <c r="A23" s="2" t="inlineStr">
        <is>
          <t>Por que la ultima cuota es distinta</t>
        </is>
      </c>
    </row>
    <row r="24">
      <c r="A24" t="inlineStr">
        <is>
          <t>Al redondear cada periodo a 2 decimales queda un residuo de centimos.</t>
        </is>
      </c>
    </row>
    <row r="25">
      <c r="A25" t="inlineStr">
        <is>
          <t>La ultima cuota amortiza todo el saldo que queda, asi el cronograma cierra</t>
        </is>
      </c>
    </row>
    <row r="26">
      <c r="A26" t="inlineStr">
        <is>
          <t>en S/ 0.00 exacto. Por eso en el Caso 2 la ultima cuota es S/ 60.60 y no</t>
        </is>
      </c>
    </row>
    <row r="27">
      <c r="A27" t="inlineStr">
        <is>
          <t>S/ 60.59: ese centimo es el ajuste, no un error.</t>
        </is>
      </c>
    </row>
    <row r="28">
      <c r="A28" t="inlineStr"/>
    </row>
    <row r="29">
      <c r="A29" s="2" t="inlineStr">
        <is>
          <t>Nota sobre el idioma de Excel</t>
        </is>
      </c>
    </row>
    <row r="30">
      <c r="A30" t="inlineStr">
        <is>
          <t>Las formulas se guardan en ingles (PMT, ROUND) y Excel las muestra en el</t>
        </is>
      </c>
    </row>
    <row r="31">
      <c r="A31" t="inlineStr">
        <is>
          <t>idioma que tengas instalado (PAGO, REDONDEAR). Es normal.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4" customWidth="1" min="4" max="4"/>
    <col width="16" customWidth="1" min="5" max="5"/>
    <col width="14" customWidth="1" min="6" max="6"/>
    <col width="16" customWidth="1" min="7" max="7"/>
  </cols>
  <sheetData>
    <row r="1">
      <c r="A1" s="1" t="inlineStr">
        <is>
          <t>Caso 1 — S/ 200.00, TEA 60 %, 14 dias, 2 cuotas cada 7 dias</t>
        </is>
      </c>
    </row>
    <row r="3">
      <c r="A3" s="3" t="inlineStr">
        <is>
          <t>DATOS DE ENTRADA</t>
        </is>
      </c>
    </row>
    <row r="4">
      <c r="A4" s="4" t="inlineStr">
        <is>
          <t>Capital (P)</t>
        </is>
      </c>
      <c r="B4" s="5" t="n">
        <v>200</v>
      </c>
      <c r="D4" s="6" t="inlineStr">
        <is>
          <t>i = (1 + TEA)^(dias / base) - 1</t>
        </is>
      </c>
    </row>
    <row r="5">
      <c r="A5" s="4" t="inlineStr">
        <is>
          <t>TEA</t>
        </is>
      </c>
      <c r="B5" s="7" t="n">
        <v>0.6</v>
      </c>
      <c r="D5" s="6" t="inlineStr">
        <is>
          <t>C = PAGO(i; n; -P)     [PMT en Excel en ingles]</t>
        </is>
      </c>
    </row>
    <row r="6">
      <c r="A6" s="4" t="inlineStr">
        <is>
          <t>Plazo (dias)</t>
        </is>
      </c>
      <c r="B6" s="8" t="n">
        <v>14</v>
      </c>
      <c r="D6" s="6" t="inlineStr">
        <is>
          <t>Interes_t = REDONDEAR(saldo_anterior * i; 2)</t>
        </is>
      </c>
    </row>
    <row r="7">
      <c r="A7" s="4" t="inlineStr">
        <is>
          <t>Numero de cuotas (n)</t>
        </is>
      </c>
      <c r="B7" s="8" t="n">
        <v>2</v>
      </c>
      <c r="D7" s="6" t="inlineStr">
        <is>
          <t>Amortizacion_t = REDONDEAR(C - Interes_t; 2)</t>
        </is>
      </c>
    </row>
    <row r="8">
      <c r="A8" s="4" t="inlineStr">
        <is>
          <t>Frecuencia (dias)</t>
        </is>
      </c>
      <c r="B8" s="8" t="n">
        <v>7</v>
      </c>
      <c r="D8" s="6" t="inlineStr">
        <is>
          <t>Saldo_t = REDONDEAR(saldo_anterior - Amortizacion_t; 2)</t>
        </is>
      </c>
    </row>
    <row r="9">
      <c r="A9" s="4" t="inlineStr">
        <is>
          <t>Base anual (dias)</t>
        </is>
      </c>
      <c r="B9" s="8" t="n">
        <v>360</v>
      </c>
      <c r="D9" s="6" t="inlineStr">
        <is>
          <t>Ultima cuota: absorbe el residuo para cerrar en 0.00</t>
        </is>
      </c>
    </row>
    <row r="10">
      <c r="A10" s="4" t="inlineStr">
        <is>
          <t>Fecha de inicio</t>
        </is>
      </c>
      <c r="B10" s="9" t="n">
        <v>46277</v>
      </c>
    </row>
    <row r="11">
      <c r="A11" s="3" t="inlineStr">
        <is>
          <t>CALCULOS</t>
        </is>
      </c>
    </row>
    <row r="12">
      <c r="A12" s="4" t="inlineStr">
        <is>
          <t>Tasa periodica (i)</t>
        </is>
      </c>
      <c r="B12" s="10">
        <f>ROUND((1+B5)^(B8/B9)-1,9)</f>
        <v/>
      </c>
    </row>
    <row r="13">
      <c r="A13" s="4" t="inlineStr">
        <is>
          <t>Cuota (C)</t>
        </is>
      </c>
      <c r="B13" s="5">
        <f>ROUND(PMT(B12,B7,-B4),2)</f>
        <v/>
      </c>
    </row>
    <row r="14">
      <c r="A14" s="4" t="inlineStr">
        <is>
          <t>Interes total</t>
        </is>
      </c>
      <c r="B14" s="5">
        <f>ROUND(SUM(D18:D19),2)</f>
        <v/>
      </c>
    </row>
    <row r="15">
      <c r="A15" s="4" t="inlineStr">
        <is>
          <t>Total a pagar</t>
        </is>
      </c>
      <c r="B15" s="5">
        <f>ROUND(SUM(F18:F19),2)</f>
        <v/>
      </c>
    </row>
    <row r="17">
      <c r="A17" s="11" t="inlineStr">
        <is>
          <t>#</t>
        </is>
      </c>
      <c r="B17" s="11" t="inlineStr">
        <is>
          <t>Fecha</t>
        </is>
      </c>
      <c r="C17" s="11" t="inlineStr">
        <is>
          <t>Saldo inicial</t>
        </is>
      </c>
      <c r="D17" s="11" t="inlineStr">
        <is>
          <t>Interes</t>
        </is>
      </c>
      <c r="E17" s="11" t="inlineStr">
        <is>
          <t>Amortizacion</t>
        </is>
      </c>
      <c r="F17" s="11" t="inlineStr">
        <is>
          <t>Cuota</t>
        </is>
      </c>
      <c r="G17" s="11" t="inlineStr">
        <is>
          <t>Saldo final</t>
        </is>
      </c>
    </row>
    <row r="18">
      <c r="A18" s="12" t="n">
        <v>1</v>
      </c>
      <c r="B18" s="13">
        <f>$B$10+A18*$B$8</f>
        <v/>
      </c>
      <c r="C18" s="14">
        <f>$B$4</f>
        <v/>
      </c>
      <c r="D18" s="14">
        <f>ROUND(C18*$B$12,2)</f>
        <v/>
      </c>
      <c r="E18" s="14">
        <f>ROUND($B$13-D18,2)</f>
        <v/>
      </c>
      <c r="F18" s="14">
        <f>$B$13</f>
        <v/>
      </c>
      <c r="G18" s="14">
        <f>ROUND(C18-E18,2)</f>
        <v/>
      </c>
    </row>
    <row r="19">
      <c r="A19" s="12" t="n">
        <v>2</v>
      </c>
      <c r="B19" s="13">
        <f>$B$10+A19*$B$8</f>
        <v/>
      </c>
      <c r="C19" s="14">
        <f>G18</f>
        <v/>
      </c>
      <c r="D19" s="14">
        <f>ROUND(C19*$B$12,2)</f>
        <v/>
      </c>
      <c r="E19" s="14">
        <f>C19</f>
        <v/>
      </c>
      <c r="F19" s="14">
        <f>ROUND(D19+E19,2)</f>
        <v/>
      </c>
      <c r="G19" s="14">
        <f>ROUND(C19-E19,2)</f>
        <v/>
      </c>
    </row>
    <row r="22">
      <c r="A22" s="3" t="inlineStr">
        <is>
          <t>COMPARACION SISTEMA vs EXCEL</t>
        </is>
      </c>
    </row>
    <row r="23">
      <c r="A23" s="11" t="inlineStr">
        <is>
          <t>Variable</t>
        </is>
      </c>
      <c r="B23" s="11" t="inlineStr">
        <is>
          <t>Sistema</t>
        </is>
      </c>
      <c r="C23" s="11" t="inlineStr">
        <is>
          <t>Excel</t>
        </is>
      </c>
      <c r="D23" s="11" t="inlineStr">
        <is>
          <t>Diferencia</t>
        </is>
      </c>
      <c r="E23" s="11" t="inlineStr">
        <is>
          <t>Resultado</t>
        </is>
      </c>
    </row>
    <row r="24">
      <c r="A24" s="15" t="inlineStr">
        <is>
          <t>Tasa periodica (i)</t>
        </is>
      </c>
      <c r="B24" s="16" t="n">
        <v>0.009180847000000001</v>
      </c>
      <c r="C24" s="16">
        <f>B12</f>
        <v/>
      </c>
      <c r="D24" s="16">
        <f>C24-B24</f>
        <v/>
      </c>
      <c r="E24" s="12">
        <f>IF(ROUND(D24,9)=0,"OK","REVISAR")</f>
        <v/>
      </c>
    </row>
    <row r="25">
      <c r="A25" s="15" t="inlineStr">
        <is>
          <t>Cuota (C)</t>
        </is>
      </c>
      <c r="B25" s="14" t="n">
        <v>101.38</v>
      </c>
      <c r="C25" s="14">
        <f>B13</f>
        <v/>
      </c>
      <c r="D25" s="14">
        <f>C25-B25</f>
        <v/>
      </c>
      <c r="E25" s="12">
        <f>IF(ROUND(D25,9)=0,"OK","REVISAR")</f>
        <v/>
      </c>
    </row>
    <row r="26">
      <c r="A26" s="15" t="inlineStr">
        <is>
          <t>Interes total</t>
        </is>
      </c>
      <c r="B26" s="14" t="n">
        <v>2.76</v>
      </c>
      <c r="C26" s="14">
        <f>B14</f>
        <v/>
      </c>
      <c r="D26" s="14">
        <f>C26-B26</f>
        <v/>
      </c>
      <c r="E26" s="12">
        <f>IF(ROUND(D26,9)=0,"OK","REVISAR")</f>
        <v/>
      </c>
    </row>
    <row r="27">
      <c r="A27" s="15" t="inlineStr">
        <is>
          <t>Total a pagar</t>
        </is>
      </c>
      <c r="B27" s="14" t="n">
        <v>202.76</v>
      </c>
      <c r="C27" s="14">
        <f>B15</f>
        <v/>
      </c>
      <c r="D27" s="14">
        <f>C27-B27</f>
        <v/>
      </c>
      <c r="E27" s="12">
        <f>IF(ROUND(D27,9)=0,"OK","REVISAR")</f>
        <v/>
      </c>
    </row>
    <row r="28">
      <c r="A28" s="15" t="inlineStr">
        <is>
          <t>Saldo final</t>
        </is>
      </c>
      <c r="B28" s="14" t="n">
        <v>0</v>
      </c>
      <c r="C28" s="14">
        <f>G19</f>
        <v/>
      </c>
      <c r="D28" s="14">
        <f>C28-B28</f>
        <v/>
      </c>
      <c r="E28" s="12">
        <f>IF(ROUND(D28,9)=0,"OK","REVISAR")</f>
        <v/>
      </c>
    </row>
    <row r="30">
      <c r="A30" s="6" t="inlineStr">
        <is>
          <t>La columna Excel son formulas vivas: cambia un dato de entrada y todo se recalcula. La columna Sistema es lo que devuelve la API.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4" customWidth="1" min="4" max="4"/>
    <col width="16" customWidth="1" min="5" max="5"/>
    <col width="14" customWidth="1" min="6" max="6"/>
    <col width="16" customWidth="1" min="7" max="7"/>
  </cols>
  <sheetData>
    <row r="1">
      <c r="A1" s="1" t="inlineStr">
        <is>
          <t>Caso 2 — S/ 120.00, TEA 40 %, 14 dias, 2 cuotas cada 7 dias</t>
        </is>
      </c>
    </row>
    <row r="3">
      <c r="A3" s="3" t="inlineStr">
        <is>
          <t>DATOS DE ENTRADA</t>
        </is>
      </c>
    </row>
    <row r="4">
      <c r="A4" s="4" t="inlineStr">
        <is>
          <t>Capital (P)</t>
        </is>
      </c>
      <c r="B4" s="5" t="n">
        <v>120</v>
      </c>
      <c r="D4" s="6" t="inlineStr">
        <is>
          <t>i = (1 + TEA)^(dias / base) - 1</t>
        </is>
      </c>
    </row>
    <row r="5">
      <c r="A5" s="4" t="inlineStr">
        <is>
          <t>TEA</t>
        </is>
      </c>
      <c r="B5" s="7" t="n">
        <v>0.4</v>
      </c>
      <c r="D5" s="6" t="inlineStr">
        <is>
          <t>C = PAGO(i; n; -P)     [PMT en Excel en ingles]</t>
        </is>
      </c>
    </row>
    <row r="6">
      <c r="A6" s="4" t="inlineStr">
        <is>
          <t>Plazo (dias)</t>
        </is>
      </c>
      <c r="B6" s="8" t="n">
        <v>14</v>
      </c>
      <c r="D6" s="6" t="inlineStr">
        <is>
          <t>Interes_t = REDONDEAR(saldo_anterior * i; 2)</t>
        </is>
      </c>
    </row>
    <row r="7">
      <c r="A7" s="4" t="inlineStr">
        <is>
          <t>Numero de cuotas (n)</t>
        </is>
      </c>
      <c r="B7" s="8" t="n">
        <v>2</v>
      </c>
      <c r="D7" s="6" t="inlineStr">
        <is>
          <t>Amortizacion_t = REDONDEAR(C - Interes_t; 2)</t>
        </is>
      </c>
    </row>
    <row r="8">
      <c r="A8" s="4" t="inlineStr">
        <is>
          <t>Frecuencia (dias)</t>
        </is>
      </c>
      <c r="B8" s="8" t="n">
        <v>7</v>
      </c>
      <c r="D8" s="6" t="inlineStr">
        <is>
          <t>Saldo_t = REDONDEAR(saldo_anterior - Amortizacion_t; 2)</t>
        </is>
      </c>
    </row>
    <row r="9">
      <c r="A9" s="4" t="inlineStr">
        <is>
          <t>Base anual (dias)</t>
        </is>
      </c>
      <c r="B9" s="8" t="n">
        <v>360</v>
      </c>
      <c r="D9" s="6" t="inlineStr">
        <is>
          <t>Ultima cuota: absorbe el residuo para cerrar en 0.00</t>
        </is>
      </c>
    </row>
    <row r="10">
      <c r="A10" s="4" t="inlineStr">
        <is>
          <t>Fecha de inicio</t>
        </is>
      </c>
      <c r="B10" s="9" t="n">
        <v>46277</v>
      </c>
    </row>
    <row r="11">
      <c r="A11" s="3" t="inlineStr">
        <is>
          <t>CALCULOS</t>
        </is>
      </c>
    </row>
    <row r="12">
      <c r="A12" s="4" t="inlineStr">
        <is>
          <t>Tasa periodica (i)</t>
        </is>
      </c>
      <c r="B12" s="10">
        <f>ROUND((1+B5)^(B8/B9)-1,9)</f>
        <v/>
      </c>
    </row>
    <row r="13">
      <c r="A13" s="4" t="inlineStr">
        <is>
          <t>Cuota (C)</t>
        </is>
      </c>
      <c r="B13" s="5">
        <f>ROUND(PMT(B12,B7,-B4),2)</f>
        <v/>
      </c>
    </row>
    <row r="14">
      <c r="A14" s="4" t="inlineStr">
        <is>
          <t>Interes total</t>
        </is>
      </c>
      <c r="B14" s="5">
        <f>ROUND(SUM(D18:D19),2)</f>
        <v/>
      </c>
    </row>
    <row r="15">
      <c r="A15" s="4" t="inlineStr">
        <is>
          <t>Total a pagar</t>
        </is>
      </c>
      <c r="B15" s="5">
        <f>ROUND(SUM(F18:F19),2)</f>
        <v/>
      </c>
    </row>
    <row r="17">
      <c r="A17" s="11" t="inlineStr">
        <is>
          <t>#</t>
        </is>
      </c>
      <c r="B17" s="11" t="inlineStr">
        <is>
          <t>Fecha</t>
        </is>
      </c>
      <c r="C17" s="11" t="inlineStr">
        <is>
          <t>Saldo inicial</t>
        </is>
      </c>
      <c r="D17" s="11" t="inlineStr">
        <is>
          <t>Interes</t>
        </is>
      </c>
      <c r="E17" s="11" t="inlineStr">
        <is>
          <t>Amortizacion</t>
        </is>
      </c>
      <c r="F17" s="11" t="inlineStr">
        <is>
          <t>Cuota</t>
        </is>
      </c>
      <c r="G17" s="11" t="inlineStr">
        <is>
          <t>Saldo final</t>
        </is>
      </c>
    </row>
    <row r="18">
      <c r="A18" s="12" t="n">
        <v>1</v>
      </c>
      <c r="B18" s="13">
        <f>$B$10+A18*$B$8</f>
        <v/>
      </c>
      <c r="C18" s="14">
        <f>$B$4</f>
        <v/>
      </c>
      <c r="D18" s="14">
        <f>ROUND(C18*$B$12,2)</f>
        <v/>
      </c>
      <c r="E18" s="14">
        <f>ROUND($B$13-D18,2)</f>
        <v/>
      </c>
      <c r="F18" s="14">
        <f>$B$13</f>
        <v/>
      </c>
      <c r="G18" s="14">
        <f>ROUND(C18-E18,2)</f>
        <v/>
      </c>
    </row>
    <row r="19">
      <c r="A19" s="12" t="n">
        <v>2</v>
      </c>
      <c r="B19" s="13">
        <f>$B$10+A19*$B$8</f>
        <v/>
      </c>
      <c r="C19" s="14">
        <f>G18</f>
        <v/>
      </c>
      <c r="D19" s="14">
        <f>ROUND(C19*$B$12,2)</f>
        <v/>
      </c>
      <c r="E19" s="14">
        <f>C19</f>
        <v/>
      </c>
      <c r="F19" s="14">
        <f>ROUND(D19+E19,2)</f>
        <v/>
      </c>
      <c r="G19" s="14">
        <f>ROUND(C19-E19,2)</f>
        <v/>
      </c>
    </row>
    <row r="22">
      <c r="A22" s="3" t="inlineStr">
        <is>
          <t>COMPARACION SISTEMA vs EXCEL</t>
        </is>
      </c>
    </row>
    <row r="23">
      <c r="A23" s="11" t="inlineStr">
        <is>
          <t>Variable</t>
        </is>
      </c>
      <c r="B23" s="11" t="inlineStr">
        <is>
          <t>Sistema</t>
        </is>
      </c>
      <c r="C23" s="11" t="inlineStr">
        <is>
          <t>Excel</t>
        </is>
      </c>
      <c r="D23" s="11" t="inlineStr">
        <is>
          <t>Diferencia</t>
        </is>
      </c>
      <c r="E23" s="11" t="inlineStr">
        <is>
          <t>Resultado</t>
        </is>
      </c>
    </row>
    <row r="24">
      <c r="A24" s="15" t="inlineStr">
        <is>
          <t>Tasa periodica (i)</t>
        </is>
      </c>
      <c r="B24" s="16" t="n">
        <v>0.006563965</v>
      </c>
      <c r="C24" s="16">
        <f>B12</f>
        <v/>
      </c>
      <c r="D24" s="16">
        <f>C24-B24</f>
        <v/>
      </c>
      <c r="E24" s="12">
        <f>IF(ROUND(D24,9)=0,"OK","REVISAR")</f>
        <v/>
      </c>
    </row>
    <row r="25">
      <c r="A25" s="15" t="inlineStr">
        <is>
          <t>Cuota (C)</t>
        </is>
      </c>
      <c r="B25" s="14" t="n">
        <v>60.59</v>
      </c>
      <c r="C25" s="14">
        <f>B13</f>
        <v/>
      </c>
      <c r="D25" s="14">
        <f>C25-B25</f>
        <v/>
      </c>
      <c r="E25" s="12">
        <f>IF(ROUND(D25,9)=0,"OK","REVISAR")</f>
        <v/>
      </c>
    </row>
    <row r="26">
      <c r="A26" s="15" t="inlineStr">
        <is>
          <t>Interes total</t>
        </is>
      </c>
      <c r="B26" s="14" t="n">
        <v>1.19</v>
      </c>
      <c r="C26" s="14">
        <f>B14</f>
        <v/>
      </c>
      <c r="D26" s="14">
        <f>C26-B26</f>
        <v/>
      </c>
      <c r="E26" s="12">
        <f>IF(ROUND(D26,9)=0,"OK","REVISAR")</f>
        <v/>
      </c>
    </row>
    <row r="27">
      <c r="A27" s="15" t="inlineStr">
        <is>
          <t>Total a pagar</t>
        </is>
      </c>
      <c r="B27" s="14" t="n">
        <v>121.19</v>
      </c>
      <c r="C27" s="14">
        <f>B15</f>
        <v/>
      </c>
      <c r="D27" s="14">
        <f>C27-B27</f>
        <v/>
      </c>
      <c r="E27" s="12">
        <f>IF(ROUND(D27,9)=0,"OK","REVISAR")</f>
        <v/>
      </c>
    </row>
    <row r="28">
      <c r="A28" s="15" t="inlineStr">
        <is>
          <t>Saldo final</t>
        </is>
      </c>
      <c r="B28" s="14" t="n">
        <v>0</v>
      </c>
      <c r="C28" s="14">
        <f>G19</f>
        <v/>
      </c>
      <c r="D28" s="14">
        <f>C28-B28</f>
        <v/>
      </c>
      <c r="E28" s="12">
        <f>IF(ROUND(D28,9)=0,"OK","REVISAR")</f>
        <v/>
      </c>
    </row>
    <row r="30">
      <c r="A30" s="6" t="inlineStr">
        <is>
          <t>La columna Excel son formulas vivas: cambia un dato de entrada y todo se recalcula. La columna Sistema es lo que devuelve la API.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4" customWidth="1" min="4" max="4"/>
    <col width="16" customWidth="1" min="5" max="5"/>
    <col width="14" customWidth="1" min="6" max="6"/>
    <col width="16" customWidth="1" min="7" max="7"/>
  </cols>
  <sheetData>
    <row r="1">
      <c r="A1" s="1" t="inlineStr">
        <is>
          <t>Simulador libre — cambia los datos de entrada y recalcula</t>
        </is>
      </c>
    </row>
    <row r="3">
      <c r="A3" s="3" t="inlineStr">
        <is>
          <t>DATOS DE ENTRADA</t>
        </is>
      </c>
    </row>
    <row r="4">
      <c r="A4" s="4" t="inlineStr">
        <is>
          <t>Capital (P)</t>
        </is>
      </c>
      <c r="B4" s="5" t="n">
        <v>140</v>
      </c>
      <c r="D4" s="6" t="inlineStr">
        <is>
          <t>i = (1 + TEA)^(dias / base) - 1</t>
        </is>
      </c>
    </row>
    <row r="5">
      <c r="A5" s="4" t="inlineStr">
        <is>
          <t>TEA</t>
        </is>
      </c>
      <c r="B5" s="7" t="n">
        <v>0.4</v>
      </c>
      <c r="D5" s="6" t="inlineStr">
        <is>
          <t>C = PAGO(i; n; -P)     [PMT en Excel en ingles]</t>
        </is>
      </c>
    </row>
    <row r="6">
      <c r="A6" s="4" t="inlineStr">
        <is>
          <t>Plazo (dias)</t>
        </is>
      </c>
      <c r="B6" s="8" t="n">
        <v>14</v>
      </c>
      <c r="D6" s="6" t="inlineStr">
        <is>
          <t>Interes_t = REDONDEAR(saldo_anterior * i; 2)</t>
        </is>
      </c>
    </row>
    <row r="7">
      <c r="A7" s="4" t="inlineStr">
        <is>
          <t>Numero de cuotas (n)</t>
        </is>
      </c>
      <c r="B7" s="8" t="n">
        <v>2</v>
      </c>
      <c r="D7" s="6" t="inlineStr">
        <is>
          <t>Amortizacion_t = REDONDEAR(C - Interes_t; 2)</t>
        </is>
      </c>
    </row>
    <row r="8">
      <c r="A8" s="4" t="inlineStr">
        <is>
          <t>Frecuencia (dias)</t>
        </is>
      </c>
      <c r="B8" s="8" t="n">
        <v>7</v>
      </c>
      <c r="D8" s="6" t="inlineStr">
        <is>
          <t>Saldo_t = REDONDEAR(saldo_anterior - Amortizacion_t; 2)</t>
        </is>
      </c>
    </row>
    <row r="9">
      <c r="A9" s="4" t="inlineStr">
        <is>
          <t>Base anual (dias)</t>
        </is>
      </c>
      <c r="B9" s="8" t="n">
        <v>360</v>
      </c>
      <c r="D9" s="6" t="inlineStr">
        <is>
          <t>Ultima cuota: absorbe el residuo para cerrar en 0.00</t>
        </is>
      </c>
    </row>
    <row r="10">
      <c r="A10" s="4" t="inlineStr">
        <is>
          <t>Fecha de inicio</t>
        </is>
      </c>
      <c r="B10" s="9" t="n">
        <v>46277</v>
      </c>
    </row>
    <row r="11">
      <c r="A11" s="3" t="inlineStr">
        <is>
          <t>CALCULOS</t>
        </is>
      </c>
    </row>
    <row r="12">
      <c r="A12" s="4" t="inlineStr">
        <is>
          <t>Tasa periodica (i)</t>
        </is>
      </c>
      <c r="B12" s="10">
        <f>ROUND((1+B5)^(B8/B9)-1,9)</f>
        <v/>
      </c>
    </row>
    <row r="13">
      <c r="A13" s="4" t="inlineStr">
        <is>
          <t>Cuota (C)</t>
        </is>
      </c>
      <c r="B13" s="5">
        <f>ROUND(PMT(B12,B7,-B4),2)</f>
        <v/>
      </c>
    </row>
    <row r="14">
      <c r="A14" s="4" t="inlineStr">
        <is>
          <t>Interes total</t>
        </is>
      </c>
      <c r="B14" s="5">
        <f>ROUND(SUM(D18:D31),2)</f>
        <v/>
      </c>
    </row>
    <row r="15">
      <c r="A15" s="4" t="inlineStr">
        <is>
          <t>Total a pagar</t>
        </is>
      </c>
      <c r="B15" s="5">
        <f>ROUND(SUM(F18:F31),2)</f>
        <v/>
      </c>
    </row>
    <row r="17">
      <c r="A17" s="11" t="inlineStr">
        <is>
          <t>#</t>
        </is>
      </c>
      <c r="B17" s="11" t="inlineStr">
        <is>
          <t>Fecha</t>
        </is>
      </c>
      <c r="C17" s="11" t="inlineStr">
        <is>
          <t>Saldo inicial</t>
        </is>
      </c>
      <c r="D17" s="11" t="inlineStr">
        <is>
          <t>Interes</t>
        </is>
      </c>
      <c r="E17" s="11" t="inlineStr">
        <is>
          <t>Amortizacion</t>
        </is>
      </c>
      <c r="F17" s="11" t="inlineStr">
        <is>
          <t>Cuota</t>
        </is>
      </c>
      <c r="G17" s="11" t="inlineStr">
        <is>
          <t>Saldo final</t>
        </is>
      </c>
    </row>
    <row r="18">
      <c r="A18" s="12" t="n">
        <v>1</v>
      </c>
      <c r="B18" s="13">
        <f>IF(A18&gt;$B$7,"",$B$10+A18*$B$8)</f>
        <v/>
      </c>
      <c r="C18" s="14">
        <f>IF(A18&gt;$B$7,"",$B$4)</f>
        <v/>
      </c>
      <c r="D18" s="14">
        <f>IF(A18&gt;$B$7,"",ROUND(C18*$B$12,2))</f>
        <v/>
      </c>
      <c r="E18" s="14">
        <f>IF(A18&gt;$B$7,"",IF(A18=$B$7,C18,ROUND($B$13-D18,2)))</f>
        <v/>
      </c>
      <c r="F18" s="14">
        <f>IF(A18&gt;$B$7,"",IF(A18=$B$7,ROUND(D18+E18,2),$B$13))</f>
        <v/>
      </c>
      <c r="G18" s="14">
        <f>IF(A18&gt;$B$7,"",ROUND(C18-E18,2))</f>
        <v/>
      </c>
    </row>
    <row r="19">
      <c r="A19" s="12" t="n">
        <v>2</v>
      </c>
      <c r="B19" s="13">
        <f>IF(A19&gt;$B$7,"",$B$10+A19*$B$8)</f>
        <v/>
      </c>
      <c r="C19" s="14">
        <f>IF(A19&gt;$B$7,"",G18)</f>
        <v/>
      </c>
      <c r="D19" s="14">
        <f>IF(A19&gt;$B$7,"",ROUND(C19*$B$12,2))</f>
        <v/>
      </c>
      <c r="E19" s="14">
        <f>IF(A19&gt;$B$7,"",IF(A19=$B$7,C19,ROUND($B$13-D19,2)))</f>
        <v/>
      </c>
      <c r="F19" s="14">
        <f>IF(A19&gt;$B$7,"",IF(A19=$B$7,ROUND(D19+E19,2),$B$13))</f>
        <v/>
      </c>
      <c r="G19" s="14">
        <f>IF(A19&gt;$B$7,"",ROUND(C19-E19,2))</f>
        <v/>
      </c>
    </row>
    <row r="20">
      <c r="A20" s="12" t="n">
        <v>3</v>
      </c>
      <c r="B20" s="13">
        <f>IF(A20&gt;$B$7,"",$B$10+A20*$B$8)</f>
        <v/>
      </c>
      <c r="C20" s="14">
        <f>IF(A20&gt;$B$7,"",G19)</f>
        <v/>
      </c>
      <c r="D20" s="14">
        <f>IF(A20&gt;$B$7,"",ROUND(C20*$B$12,2))</f>
        <v/>
      </c>
      <c r="E20" s="14">
        <f>IF(A20&gt;$B$7,"",IF(A20=$B$7,C20,ROUND($B$13-D20,2)))</f>
        <v/>
      </c>
      <c r="F20" s="14">
        <f>IF(A20&gt;$B$7,"",IF(A20=$B$7,ROUND(D20+E20,2),$B$13))</f>
        <v/>
      </c>
      <c r="G20" s="14">
        <f>IF(A20&gt;$B$7,"",ROUND(C20-E20,2))</f>
        <v/>
      </c>
    </row>
    <row r="21">
      <c r="A21" s="12" t="n">
        <v>4</v>
      </c>
      <c r="B21" s="13">
        <f>IF(A21&gt;$B$7,"",$B$10+A21*$B$8)</f>
        <v/>
      </c>
      <c r="C21" s="14">
        <f>IF(A21&gt;$B$7,"",G20)</f>
        <v/>
      </c>
      <c r="D21" s="14">
        <f>IF(A21&gt;$B$7,"",ROUND(C21*$B$12,2))</f>
        <v/>
      </c>
      <c r="E21" s="14">
        <f>IF(A21&gt;$B$7,"",IF(A21=$B$7,C21,ROUND($B$13-D21,2)))</f>
        <v/>
      </c>
      <c r="F21" s="14">
        <f>IF(A21&gt;$B$7,"",IF(A21=$B$7,ROUND(D21+E21,2),$B$13))</f>
        <v/>
      </c>
      <c r="G21" s="14">
        <f>IF(A21&gt;$B$7,"",ROUND(C21-E21,2))</f>
        <v/>
      </c>
    </row>
    <row r="22">
      <c r="A22" s="12" t="n">
        <v>5</v>
      </c>
      <c r="B22" s="13">
        <f>IF(A22&gt;$B$7,"",$B$10+A22*$B$8)</f>
        <v/>
      </c>
      <c r="C22" s="14">
        <f>IF(A22&gt;$B$7,"",G21)</f>
        <v/>
      </c>
      <c r="D22" s="14">
        <f>IF(A22&gt;$B$7,"",ROUND(C22*$B$12,2))</f>
        <v/>
      </c>
      <c r="E22" s="14">
        <f>IF(A22&gt;$B$7,"",IF(A22=$B$7,C22,ROUND($B$13-D22,2)))</f>
        <v/>
      </c>
      <c r="F22" s="14">
        <f>IF(A22&gt;$B$7,"",IF(A22=$B$7,ROUND(D22+E22,2),$B$13))</f>
        <v/>
      </c>
      <c r="G22" s="14">
        <f>IF(A22&gt;$B$7,"",ROUND(C22-E22,2))</f>
        <v/>
      </c>
    </row>
    <row r="23">
      <c r="A23" s="12" t="n">
        <v>6</v>
      </c>
      <c r="B23" s="13">
        <f>IF(A23&gt;$B$7,"",$B$10+A23*$B$8)</f>
        <v/>
      </c>
      <c r="C23" s="14">
        <f>IF(A23&gt;$B$7,"",G22)</f>
        <v/>
      </c>
      <c r="D23" s="14">
        <f>IF(A23&gt;$B$7,"",ROUND(C23*$B$12,2))</f>
        <v/>
      </c>
      <c r="E23" s="14">
        <f>IF(A23&gt;$B$7,"",IF(A23=$B$7,C23,ROUND($B$13-D23,2)))</f>
        <v/>
      </c>
      <c r="F23" s="14">
        <f>IF(A23&gt;$B$7,"",IF(A23=$B$7,ROUND(D23+E23,2),$B$13))</f>
        <v/>
      </c>
      <c r="G23" s="14">
        <f>IF(A23&gt;$B$7,"",ROUND(C23-E23,2))</f>
        <v/>
      </c>
    </row>
    <row r="24">
      <c r="A24" s="12" t="n">
        <v>7</v>
      </c>
      <c r="B24" s="13">
        <f>IF(A24&gt;$B$7,"",$B$10+A24*$B$8)</f>
        <v/>
      </c>
      <c r="C24" s="14">
        <f>IF(A24&gt;$B$7,"",G23)</f>
        <v/>
      </c>
      <c r="D24" s="14">
        <f>IF(A24&gt;$B$7,"",ROUND(C24*$B$12,2))</f>
        <v/>
      </c>
      <c r="E24" s="14">
        <f>IF(A24&gt;$B$7,"",IF(A24=$B$7,C24,ROUND($B$13-D24,2)))</f>
        <v/>
      </c>
      <c r="F24" s="14">
        <f>IF(A24&gt;$B$7,"",IF(A24=$B$7,ROUND(D24+E24,2),$B$13))</f>
        <v/>
      </c>
      <c r="G24" s="14">
        <f>IF(A24&gt;$B$7,"",ROUND(C24-E24,2))</f>
        <v/>
      </c>
    </row>
    <row r="25">
      <c r="A25" s="12" t="n">
        <v>8</v>
      </c>
      <c r="B25" s="13">
        <f>IF(A25&gt;$B$7,"",$B$10+A25*$B$8)</f>
        <v/>
      </c>
      <c r="C25" s="14">
        <f>IF(A25&gt;$B$7,"",G24)</f>
        <v/>
      </c>
      <c r="D25" s="14">
        <f>IF(A25&gt;$B$7,"",ROUND(C25*$B$12,2))</f>
        <v/>
      </c>
      <c r="E25" s="14">
        <f>IF(A25&gt;$B$7,"",IF(A25=$B$7,C25,ROUND($B$13-D25,2)))</f>
        <v/>
      </c>
      <c r="F25" s="14">
        <f>IF(A25&gt;$B$7,"",IF(A25=$B$7,ROUND(D25+E25,2),$B$13))</f>
        <v/>
      </c>
      <c r="G25" s="14">
        <f>IF(A25&gt;$B$7,"",ROUND(C25-E25,2))</f>
        <v/>
      </c>
    </row>
    <row r="26">
      <c r="A26" s="12" t="n">
        <v>9</v>
      </c>
      <c r="B26" s="13">
        <f>IF(A26&gt;$B$7,"",$B$10+A26*$B$8)</f>
        <v/>
      </c>
      <c r="C26" s="14">
        <f>IF(A26&gt;$B$7,"",G25)</f>
        <v/>
      </c>
      <c r="D26" s="14">
        <f>IF(A26&gt;$B$7,"",ROUND(C26*$B$12,2))</f>
        <v/>
      </c>
      <c r="E26" s="14">
        <f>IF(A26&gt;$B$7,"",IF(A26=$B$7,C26,ROUND($B$13-D26,2)))</f>
        <v/>
      </c>
      <c r="F26" s="14">
        <f>IF(A26&gt;$B$7,"",IF(A26=$B$7,ROUND(D26+E26,2),$B$13))</f>
        <v/>
      </c>
      <c r="G26" s="14">
        <f>IF(A26&gt;$B$7,"",ROUND(C26-E26,2))</f>
        <v/>
      </c>
    </row>
    <row r="27">
      <c r="A27" s="12" t="n">
        <v>10</v>
      </c>
      <c r="B27" s="13">
        <f>IF(A27&gt;$B$7,"",$B$10+A27*$B$8)</f>
        <v/>
      </c>
      <c r="C27" s="14">
        <f>IF(A27&gt;$B$7,"",G26)</f>
        <v/>
      </c>
      <c r="D27" s="14">
        <f>IF(A27&gt;$B$7,"",ROUND(C27*$B$12,2))</f>
        <v/>
      </c>
      <c r="E27" s="14">
        <f>IF(A27&gt;$B$7,"",IF(A27=$B$7,C27,ROUND($B$13-D27,2)))</f>
        <v/>
      </c>
      <c r="F27" s="14">
        <f>IF(A27&gt;$B$7,"",IF(A27=$B$7,ROUND(D27+E27,2),$B$13))</f>
        <v/>
      </c>
      <c r="G27" s="14">
        <f>IF(A27&gt;$B$7,"",ROUND(C27-E27,2))</f>
        <v/>
      </c>
    </row>
    <row r="28">
      <c r="A28" s="12" t="n">
        <v>11</v>
      </c>
      <c r="B28" s="13">
        <f>IF(A28&gt;$B$7,"",$B$10+A28*$B$8)</f>
        <v/>
      </c>
      <c r="C28" s="14">
        <f>IF(A28&gt;$B$7,"",G27)</f>
        <v/>
      </c>
      <c r="D28" s="14">
        <f>IF(A28&gt;$B$7,"",ROUND(C28*$B$12,2))</f>
        <v/>
      </c>
      <c r="E28" s="14">
        <f>IF(A28&gt;$B$7,"",IF(A28=$B$7,C28,ROUND($B$13-D28,2)))</f>
        <v/>
      </c>
      <c r="F28" s="14">
        <f>IF(A28&gt;$B$7,"",IF(A28=$B$7,ROUND(D28+E28,2),$B$13))</f>
        <v/>
      </c>
      <c r="G28" s="14">
        <f>IF(A28&gt;$B$7,"",ROUND(C28-E28,2))</f>
        <v/>
      </c>
    </row>
    <row r="29">
      <c r="A29" s="12" t="n">
        <v>12</v>
      </c>
      <c r="B29" s="13">
        <f>IF(A29&gt;$B$7,"",$B$10+A29*$B$8)</f>
        <v/>
      </c>
      <c r="C29" s="14">
        <f>IF(A29&gt;$B$7,"",G28)</f>
        <v/>
      </c>
      <c r="D29" s="14">
        <f>IF(A29&gt;$B$7,"",ROUND(C29*$B$12,2))</f>
        <v/>
      </c>
      <c r="E29" s="14">
        <f>IF(A29&gt;$B$7,"",IF(A29=$B$7,C29,ROUND($B$13-D29,2)))</f>
        <v/>
      </c>
      <c r="F29" s="14">
        <f>IF(A29&gt;$B$7,"",IF(A29=$B$7,ROUND(D29+E29,2),$B$13))</f>
        <v/>
      </c>
      <c r="G29" s="14">
        <f>IF(A29&gt;$B$7,"",ROUND(C29-E29,2))</f>
        <v/>
      </c>
    </row>
    <row r="30">
      <c r="A30" s="12" t="n">
        <v>13</v>
      </c>
      <c r="B30" s="13">
        <f>IF(A30&gt;$B$7,"",$B$10+A30*$B$8)</f>
        <v/>
      </c>
      <c r="C30" s="14">
        <f>IF(A30&gt;$B$7,"",G29)</f>
        <v/>
      </c>
      <c r="D30" s="14">
        <f>IF(A30&gt;$B$7,"",ROUND(C30*$B$12,2))</f>
        <v/>
      </c>
      <c r="E30" s="14">
        <f>IF(A30&gt;$B$7,"",IF(A30=$B$7,C30,ROUND($B$13-D30,2)))</f>
        <v/>
      </c>
      <c r="F30" s="14">
        <f>IF(A30&gt;$B$7,"",IF(A30=$B$7,ROUND(D30+E30,2),$B$13))</f>
        <v/>
      </c>
      <c r="G30" s="14">
        <f>IF(A30&gt;$B$7,"",ROUND(C30-E30,2))</f>
        <v/>
      </c>
    </row>
    <row r="31">
      <c r="A31" s="12" t="n">
        <v>14</v>
      </c>
      <c r="B31" s="13">
        <f>IF(A31&gt;$B$7,"",$B$10+A31*$B$8)</f>
        <v/>
      </c>
      <c r="C31" s="14">
        <f>IF(A31&gt;$B$7,"",G30)</f>
        <v/>
      </c>
      <c r="D31" s="14">
        <f>IF(A31&gt;$B$7,"",ROUND(C31*$B$12,2))</f>
        <v/>
      </c>
      <c r="E31" s="14">
        <f>IF(A31&gt;$B$7,"",IF(A31=$B$7,C31,ROUND($B$13-D31,2)))</f>
        <v/>
      </c>
      <c r="F31" s="14">
        <f>IF(A31&gt;$B$7,"",IF(A31=$B$7,ROUND(D31+E31,2),$B$13))</f>
        <v/>
      </c>
      <c r="G31" s="14">
        <f>IF(A31&gt;$B$7,"",ROUND(C31-E31,2))</f>
        <v/>
      </c>
    </row>
    <row r="34">
      <c r="A34" s="6" t="inlineStr">
        <is>
          <t>Limites del producto: monto maximo S/ 200.00, plazo maximo 14 dias. Las filas sobrantes se ocultan solas cuando n es menor a 14.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2026-09-13T03:58:56Z</dcterms:created>
  <dcterms:modified xsi:type="dcterms:W3CDTF">2026-09-13T03:58:56Z</dcterms:modified>
</cp:coreProperties>
</file>